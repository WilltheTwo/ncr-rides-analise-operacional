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dos\Projeto_Analise_de_Dados_Uber\"/>
    </mc:Choice>
  </mc:AlternateContent>
  <xr:revisionPtr revIDLastSave="0" documentId="13_ncr:1_{6A0D246D-94E1-470D-A93F-9F193E318802}" xr6:coauthVersionLast="47" xr6:coauthVersionMax="47" xr10:uidLastSave="{00000000-0000-0000-0000-000000000000}"/>
  <bookViews>
    <workbookView xWindow="-120" yWindow="-120" windowWidth="29040" windowHeight="16440" activeTab="2" xr2:uid="{D0D2B2A3-2BF7-4DB4-B6C8-41E7C02D4B5E}"/>
  </bookViews>
  <sheets>
    <sheet name="Volume_Status" sheetId="9" r:id="rId1"/>
    <sheet name="Motivos_Motorista" sheetId="3" r:id="rId2"/>
    <sheet name="Receita" sheetId="17" r:id="rId3"/>
    <sheet name="VTAT_Status" sheetId="5" r:id="rId4"/>
    <sheet name="Motivos_Clientes" sheetId="2" r:id="rId5"/>
    <sheet name="Ticket_Veiculo" sheetId="6" r:id="rId6"/>
    <sheet name="Volume_Periodo" sheetId="7" r:id="rId7"/>
    <sheet name="Avaliacao_Produto" sheetId="8" r:id="rId8"/>
  </sheets>
  <definedNames>
    <definedName name="DadosExternos_1" localSheetId="7" hidden="1">Avaliacao_Produto!$A$1:$D$8</definedName>
    <definedName name="DadosExternos_1" localSheetId="4" hidden="1">Motivos_Clientes!$A$1:$C$6</definedName>
    <definedName name="DadosExternos_1" localSheetId="1" hidden="1">Motivos_Motorista!$A$1:$C$5</definedName>
    <definedName name="DadosExternos_1" localSheetId="2" hidden="1">Receita!$A$1:$D$6</definedName>
    <definedName name="DadosExternos_1" localSheetId="5" hidden="1">Ticket_Veiculo!$A$1:$E$8</definedName>
    <definedName name="DadosExternos_1" localSheetId="6" hidden="1">Volume_Periodo!$A$1:$E$5</definedName>
    <definedName name="DadosExternos_1" localSheetId="0" hidden="1">Volume_Status!$A$1:$C$6</definedName>
    <definedName name="DadosExternos_1" localSheetId="3" hidden="1">VTAT_Status!$A$1:$D$6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58ADABA-AA6B-48E8-8C43-7EEC86D3A08B}" keepAlive="1" name="Consulta - 01_volume_por_status" description="Conexão com a consulta '01_volume_por_status' na pasta de trabalho." type="5" refreshedVersion="8" background="1" saveData="1">
    <dbPr connection="Provider=Microsoft.Mashup.OleDb.1;Data Source=$Workbook$;Location=01_volume_por_status;Extended Properties=&quot;&quot;" command="SELECT * FROM [01_volume_por_status]"/>
  </connection>
  <connection id="2" xr16:uid="{A331F683-BD42-4423-815E-E0642A028D3E}" keepAlive="1" name="Consulta - 02_motivos_cancelamento_cliente" description="Conexão com a consulta '02_motivos_cancelamento_cliente' na pasta de trabalho." type="5" refreshedVersion="8" background="1" saveData="1">
    <dbPr connection="Provider=Microsoft.Mashup.OleDb.1;Data Source=$Workbook$;Location=02_motivos_cancelamento_cliente;Extended Properties=&quot;&quot;" command="SELECT * FROM [02_motivos_cancelamento_cliente]"/>
  </connection>
  <connection id="3" xr16:uid="{DCF1B19E-C32A-4F9B-9DED-33747ACF773D}" keepAlive="1" name="Consulta - 03_motivos_cancelamento_motorista" description="Conexão com a consulta '03_motivos_cancelamento_motorista' na pasta de trabalho." type="5" refreshedVersion="0" background="1">
    <dbPr connection="Provider=Microsoft.Mashup.OleDb.1;Data Source=$Workbook$;Location=03_motivos_cancelamento_motorista;Extended Properties=&quot;&quot;" command="SELECT * FROM [03_motivos_cancelamento_motorista]"/>
  </connection>
  <connection id="4" xr16:uid="{EE16C98F-D272-4B7C-B53C-02769B03630F}" keepAlive="1" name="Consulta - 03_motivos_cancelamento_motorista (2)" description="Conexão com a consulta '03_motivos_cancelamento_motorista (2)' na pasta de trabalho." type="5" refreshedVersion="8" background="1" saveData="1">
    <dbPr connection="Provider=Microsoft.Mashup.OleDb.1;Data Source=$Workbook$;Location=&quot;03_motivos_cancelamento_motorista (2)&quot;;Extended Properties=&quot;&quot;" command="SELECT * FROM [03_motivos_cancelamento_motorista (2)]"/>
  </connection>
  <connection id="5" xr16:uid="{D7CCD734-08F8-434C-8838-93D91CEA37D1}" keepAlive="1" name="Consulta - 04_receita" description="Conexão com a consulta '04_receita' na pasta de trabalho." type="5" refreshedVersion="8" background="1" saveData="1">
    <dbPr connection="Provider=Microsoft.Mashup.OleDb.1;Data Source=$Workbook$;Location=04_receita;Extended Properties=&quot;&quot;" command="SELECT * FROM [04_receita]"/>
  </connection>
  <connection id="6" xr16:uid="{2504DAA6-C96D-4093-BF0A-86E2ED1F34DA}" keepAlive="1" name="Consulta - 04_receita (2)" description="Conexão com a consulta '04_receita (2)' na pasta de trabalho." type="5" refreshedVersion="0" background="1">
    <dbPr connection="Provider=Microsoft.Mashup.OleDb.1;Data Source=$Workbook$;Location=&quot;04_receita (2)&quot;;Extended Properties=&quot;&quot;" command="SELECT * FROM [04_receita (2)]"/>
  </connection>
  <connection id="7" xr16:uid="{7E1B58FA-F379-4A76-A5FD-B9F4EEFD7ABD}" keepAlive="1" name="Consulta - 04_receita (3)" description="Conexão com a consulta '04_receita (3)' na pasta de trabalho." type="5" refreshedVersion="0" background="1">
    <dbPr connection="Provider=Microsoft.Mashup.OleDb.1;Data Source=$Workbook$;Location=&quot;04_receita (3)&quot;;Extended Properties=&quot;&quot;" command="SELECT * FROM [04_receita (3)]"/>
  </connection>
  <connection id="8" xr16:uid="{16B90B1F-B638-4FF5-AD82-3F5BBB536443}" keepAlive="1" name="Consulta - 04_receita (4)" description="Conexão com a consulta '04_receita (4)' na pasta de trabalho." type="5" refreshedVersion="0" background="1">
    <dbPr connection="Provider=Microsoft.Mashup.OleDb.1;Data Source=$Workbook$;Location=&quot;04_receita (4)&quot;;Extended Properties=&quot;&quot;" command="SELECT * FROM [04_receita (4)]"/>
  </connection>
  <connection id="9" xr16:uid="{A5FECF81-5561-4AEE-8409-2EC2DBF572DC}" keepAlive="1" name="Consulta - 04_receita (5)" description="Conexão com a consulta '04_receita (5)' na pasta de trabalho." type="5" refreshedVersion="0" background="1">
    <dbPr connection="Provider=Microsoft.Mashup.OleDb.1;Data Source=$Workbook$;Location=&quot;04_receita (5)&quot;;Extended Properties=&quot;&quot;" command="SELECT * FROM [04_receita (5)]"/>
  </connection>
  <connection id="10" xr16:uid="{9159986B-E86A-42EC-B988-838111E07A01}" keepAlive="1" name="Consulta - 04_receita (6)" description="Conexão com a consulta '04_receita (6)' na pasta de trabalho." type="5" refreshedVersion="0" background="1">
    <dbPr connection="Provider=Microsoft.Mashup.OleDb.1;Data Source=$Workbook$;Location=&quot;04_receita (6)&quot;;Extended Properties=&quot;&quot;" command="SELECT * FROM [04_receita (6)]"/>
  </connection>
  <connection id="11" xr16:uid="{9AEB8391-31AC-4E64-9CD7-5154F6E77CF2}" keepAlive="1" name="Consulta - 04_receita (7)" description="Conexão com a consulta '04_receita (7)' na pasta de trabalho." type="5" refreshedVersion="8" background="1" saveData="1">
    <dbPr connection="Provider=Microsoft.Mashup.OleDb.1;Data Source=$Workbook$;Location=&quot;04_receita (7)&quot;;Extended Properties=&quot;&quot;" command="SELECT * FROM [04_receita (7)]"/>
  </connection>
  <connection id="12" xr16:uid="{52258C0F-ECC9-407D-94A8-2D2524250CDE}" keepAlive="1" name="Consulta - 05_vtat_por_status" description="Conexão com a consulta '05_vtat_por_status' na pasta de trabalho." type="5" refreshedVersion="8" background="1" saveData="1">
    <dbPr connection="Provider=Microsoft.Mashup.OleDb.1;Data Source=$Workbook$;Location=05_vtat_por_status;Extended Properties=&quot;&quot;" command="SELECT * FROM [05_vtat_por_status]"/>
  </connection>
  <connection id="13" xr16:uid="{C63B243E-E001-4F3C-B5E2-6D033954AD6C}" keepAlive="1" name="Consulta - 06_ticket_por_veiculo" description="Conexão com a consulta '06_ticket_por_veiculo' na pasta de trabalho." type="5" refreshedVersion="8" background="1" saveData="1">
    <dbPr connection="Provider=Microsoft.Mashup.OleDb.1;Data Source=$Workbook$;Location=06_ticket_por_veiculo;Extended Properties=&quot;&quot;" command="SELECT * FROM [06_ticket_por_veiculo]"/>
  </connection>
  <connection id="14" xr16:uid="{606CBACC-07A6-4BDA-98A5-AA659CF8C82D}" keepAlive="1" name="Consulta - 07_volume_por_periodo" description="Conexão com a consulta '07_volume_por_periodo' na pasta de trabalho." type="5" refreshedVersion="8" background="1" saveData="1">
    <dbPr connection="Provider=Microsoft.Mashup.OleDb.1;Data Source=$Workbook$;Location=07_volume_por_periodo;Extended Properties=&quot;&quot;" command="SELECT * FROM [07_volume_por_periodo]"/>
  </connection>
  <connection id="15" xr16:uid="{F6F5155B-8A3E-4CF6-88AC-7E12483235B3}" keepAlive="1" name="Consulta - 08_avaliacao_por_veiculo" description="Conexão com a consulta '08_avaliacao_por_veiculo' na pasta de trabalho." type="5" refreshedVersion="8" background="1" saveData="1">
    <dbPr connection="Provider=Microsoft.Mashup.OleDb.1;Data Source=$Workbook$;Location=08_avaliacao_por_veiculo;Extended Properties=&quot;&quot;" command="SELECT * FROM [08_avaliacao_por_veiculo]"/>
  </connection>
</connections>
</file>

<file path=xl/sharedStrings.xml><?xml version="1.0" encoding="utf-8"?>
<sst xmlns="http://schemas.openxmlformats.org/spreadsheetml/2006/main" count="73" uniqueCount="46">
  <si>
    <t>categoria_operacional</t>
  </si>
  <si>
    <t>total_corridas</t>
  </si>
  <si>
    <t>percentual</t>
  </si>
  <si>
    <t>Receita Realizada</t>
  </si>
  <si>
    <t>Perda por Motorista</t>
  </si>
  <si>
    <t>Perda por Cliente</t>
  </si>
  <si>
    <t>Falha da Oferta</t>
  </si>
  <si>
    <t>Perda Operacional</t>
  </si>
  <si>
    <t>motivo_cancelamento_cliente</t>
  </si>
  <si>
    <t>total_cancelamentos</t>
  </si>
  <si>
    <t>Wrong Address</t>
  </si>
  <si>
    <t>Change of plans</t>
  </si>
  <si>
    <t>Driver is not moving towards pickup location</t>
  </si>
  <si>
    <t>Driver asked to cancel</t>
  </si>
  <si>
    <t>AC is not working</t>
  </si>
  <si>
    <t>motivo_cancelamento_motorista</t>
  </si>
  <si>
    <t>Customer related issue</t>
  </si>
  <si>
    <t>The customer was coughing/sick</t>
  </si>
  <si>
    <t>Personal &amp; Car related issues</t>
  </si>
  <si>
    <t>More than permitted people in there</t>
  </si>
  <si>
    <t>receita_realizada</t>
  </si>
  <si>
    <t>receita_perdida_estimada</t>
  </si>
  <si>
    <t>ticket_medio</t>
  </si>
  <si>
    <t>vtat_medio</t>
  </si>
  <si>
    <t>ctat_medio</t>
  </si>
  <si>
    <t>tipo_veiculo</t>
  </si>
  <si>
    <t>receita_total</t>
  </si>
  <si>
    <t>distancia_media</t>
  </si>
  <si>
    <t>Auto</t>
  </si>
  <si>
    <t>Go Mini</t>
  </si>
  <si>
    <t>Go Sedan</t>
  </si>
  <si>
    <t>Bike</t>
  </si>
  <si>
    <t>Premier Sedan</t>
  </si>
  <si>
    <t>eBike</t>
  </si>
  <si>
    <t>Uber XL</t>
  </si>
  <si>
    <t>periodo_do_dia</t>
  </si>
  <si>
    <t>cancelamentos_cliente</t>
  </si>
  <si>
    <t>cancelamentos_motorista</t>
  </si>
  <si>
    <t>Tarde</t>
  </si>
  <si>
    <t>Noite</t>
  </si>
  <si>
    <t>Manhã</t>
  </si>
  <si>
    <t>Madrugada</t>
  </si>
  <si>
    <t>avaliacao_media_motorista</t>
  </si>
  <si>
    <t>avaliacao_media_cliente</t>
  </si>
  <si>
    <t>total_corridas_avaliadas</t>
  </si>
  <si>
    <t>Perda por Operacional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</si>
</sst>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Distribuição</a:t>
            </a:r>
            <a:r>
              <a:rPr lang="pt-BR" baseline="0"/>
              <a:t> de Corridas por Status Operacional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32200612423447073"/>
          <c:y val="0.19689632545931759"/>
          <c:w val="0.34487685914260718"/>
          <c:h val="0.57479476523767858"/>
        </c:manualLayout>
      </c:layout>
      <c:pieChart>
        <c:varyColors val="1"/>
        <c:ser>
          <c:idx val="1"/>
          <c:order val="0"/>
          <c:tx>
            <c:strRef>
              <c:f>Volume_Status!$C$1</c:f>
              <c:strCache>
                <c:ptCount val="1"/>
                <c:pt idx="0">
                  <c:v>percentual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1D4-4780-9C27-40C56722A60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1D4-4780-9C27-40C56722A60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B1D4-4780-9C27-40C56722A60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B1D4-4780-9C27-40C56722A60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994-4D5C-852A-944B414FA441}"/>
              </c:ext>
            </c:extLst>
          </c:dPt>
          <c:dLbls>
            <c:dLbl>
              <c:idx val="0"/>
              <c:layout>
                <c:manualLayout>
                  <c:x val="3.8343290515967378E-3"/>
                  <c:y val="-0.1076775827049887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1D4-4780-9C27-40C56722A608}"/>
                </c:ext>
              </c:extLst>
            </c:dLbl>
            <c:dLbl>
              <c:idx val="1"/>
              <c:layout>
                <c:manualLayout>
                  <c:x val="4.511476651664314E-3"/>
                  <c:y val="-1.642562347551079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1D4-4780-9C27-40C56722A608}"/>
                </c:ext>
              </c:extLst>
            </c:dLbl>
            <c:dLbl>
              <c:idx val="2"/>
              <c:layout>
                <c:manualLayout>
                  <c:x val="1.868790076550465E-2"/>
                  <c:y val="-2.3173163425243221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1D4-4780-9C27-40C56722A608}"/>
                </c:ext>
              </c:extLst>
            </c:dLbl>
            <c:dLbl>
              <c:idx val="3"/>
              <c:layout>
                <c:manualLayout>
                  <c:x val="1.4401311448244844E-2"/>
                  <c:y val="-3.9794848965434308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1D4-4780-9C27-40C56722A6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Volume_Status!$A$2:$A$6</c:f>
              <c:strCache>
                <c:ptCount val="5"/>
                <c:pt idx="0">
                  <c:v>Receita Realizada</c:v>
                </c:pt>
                <c:pt idx="1">
                  <c:v>Perda por Motorista</c:v>
                </c:pt>
                <c:pt idx="2">
                  <c:v>Perda por Cliente</c:v>
                </c:pt>
                <c:pt idx="3">
                  <c:v>Falha da Oferta</c:v>
                </c:pt>
                <c:pt idx="4">
                  <c:v>Perda Operacional</c:v>
                </c:pt>
              </c:strCache>
            </c:strRef>
          </c:cat>
          <c:val>
            <c:numRef>
              <c:f>Volume_Status!$C$2:$C$6</c:f>
              <c:numCache>
                <c:formatCode>General</c:formatCode>
                <c:ptCount val="5"/>
                <c:pt idx="0">
                  <c:v>620</c:v>
                </c:pt>
                <c:pt idx="1">
                  <c:v>180</c:v>
                </c:pt>
                <c:pt idx="2">
                  <c:v>70</c:v>
                </c:pt>
                <c:pt idx="3">
                  <c:v>70</c:v>
                </c:pt>
                <c:pt idx="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D4-4780-9C27-40C56722A608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994-4D5C-852A-944B414FA44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Volume_Status!$A$2:$A$6</c:f>
              <c:strCache>
                <c:ptCount val="5"/>
                <c:pt idx="0">
                  <c:v>Receita Realizada</c:v>
                </c:pt>
                <c:pt idx="1">
                  <c:v>Perda por Motorista</c:v>
                </c:pt>
                <c:pt idx="2">
                  <c:v>Perda por Cliente</c:v>
                </c:pt>
                <c:pt idx="3">
                  <c:v>Falha da Oferta</c:v>
                </c:pt>
                <c:pt idx="4">
                  <c:v>Perda Operacional</c:v>
                </c:pt>
              </c:strCache>
            </c:strRef>
          </c:cat>
          <c:val>
            <c:numRef>
              <c:f>Volume_Status!$C$1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D4-4780-9C27-40C56722A60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Motivos de Cancelamento</a:t>
            </a:r>
            <a:r>
              <a:rPr lang="pt-BR" baseline="0"/>
              <a:t> pelo Motorista</a:t>
            </a:r>
          </a:p>
        </c:rich>
      </c:tx>
      <c:layout>
        <c:manualLayout>
          <c:xMode val="edge"/>
          <c:yMode val="edge"/>
          <c:x val="0.29347559123380057"/>
          <c:y val="3.26796742318974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37004155730533678"/>
          <c:y val="0.17171296296296298"/>
          <c:w val="0.59306955380577431"/>
          <c:h val="0.7212580198308544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Motivos_Motorista!$C$1</c:f>
              <c:strCache>
                <c:ptCount val="1"/>
                <c:pt idx="0">
                  <c:v>percentual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Motivos_Motorista!$A$2:$A$5</c:f>
              <c:strCache>
                <c:ptCount val="4"/>
                <c:pt idx="0">
                  <c:v>Customer related issue</c:v>
                </c:pt>
                <c:pt idx="1">
                  <c:v>The customer was coughing/sick</c:v>
                </c:pt>
                <c:pt idx="2">
                  <c:v>Personal &amp; Car related issues</c:v>
                </c:pt>
                <c:pt idx="3">
                  <c:v>More than permitted people in there</c:v>
                </c:pt>
              </c:strCache>
            </c:strRef>
          </c:cat>
          <c:val>
            <c:numRef>
              <c:f>Motivos_Motorista!$B$2:$B$5</c:f>
              <c:numCache>
                <c:formatCode>General</c:formatCode>
                <c:ptCount val="4"/>
                <c:pt idx="0">
                  <c:v>6837</c:v>
                </c:pt>
                <c:pt idx="1">
                  <c:v>6751</c:v>
                </c:pt>
                <c:pt idx="2">
                  <c:v>6726</c:v>
                </c:pt>
                <c:pt idx="3">
                  <c:v>6686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F2-4411-A20C-C97C4C9B7EF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92681007"/>
        <c:axId val="692683887"/>
      </c:barChart>
      <c:catAx>
        <c:axId val="6926810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92683887"/>
        <c:crosses val="autoZero"/>
        <c:auto val="1"/>
        <c:lblAlgn val="ctr"/>
        <c:lblOffset val="100"/>
        <c:noMultiLvlLbl val="0"/>
      </c:catAx>
      <c:valAx>
        <c:axId val="69268388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92681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Receita</a:t>
            </a:r>
            <a:r>
              <a:rPr lang="pt-BR" baseline="0"/>
              <a:t> Realizada vs Perdida Estimada por Categoria 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0"/>
          <c:tx>
            <c:strRef>
              <c:f>Receita!$C$1</c:f>
              <c:strCache>
                <c:ptCount val="1"/>
                <c:pt idx="0">
                  <c:v>receita_realizada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Receita!$A$2:$A$6</c:f>
              <c:strCache>
                <c:ptCount val="5"/>
                <c:pt idx="0">
                  <c:v>Receita Realizada</c:v>
                </c:pt>
                <c:pt idx="1">
                  <c:v>Perda por Motorista</c:v>
                </c:pt>
                <c:pt idx="2">
                  <c:v>Perda por Cliente</c:v>
                </c:pt>
                <c:pt idx="3">
                  <c:v>Perda por Operacional</c:v>
                </c:pt>
                <c:pt idx="4">
                  <c:v>Falha da Oferta</c:v>
                </c:pt>
              </c:strCache>
            </c:strRef>
          </c:cat>
          <c:val>
            <c:numRef>
              <c:f>Receita!$C$2:$C$6</c:f>
              <c:numCache>
                <c:formatCode>General</c:formatCode>
                <c:ptCount val="5"/>
                <c:pt idx="0">
                  <c:v>47260574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42-4833-BFB0-A36C523D7056}"/>
            </c:ext>
          </c:extLst>
        </c:ser>
        <c:ser>
          <c:idx val="2"/>
          <c:order val="1"/>
          <c:tx>
            <c:strRef>
              <c:f>Receita!$D$1</c:f>
              <c:strCache>
                <c:ptCount val="1"/>
                <c:pt idx="0">
                  <c:v>receita_perdida_estimada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Receita!$A$2:$A$6</c:f>
              <c:strCache>
                <c:ptCount val="5"/>
                <c:pt idx="0">
                  <c:v>Receita Realizada</c:v>
                </c:pt>
                <c:pt idx="1">
                  <c:v>Perda por Motorista</c:v>
                </c:pt>
                <c:pt idx="2">
                  <c:v>Perda por Cliente</c:v>
                </c:pt>
                <c:pt idx="3">
                  <c:v>Perda por Operacional</c:v>
                </c:pt>
                <c:pt idx="4">
                  <c:v>Falha da Oferta</c:v>
                </c:pt>
              </c:strCache>
            </c:strRef>
          </c:cat>
          <c:val>
            <c:numRef>
              <c:f>Receita!$D$2:$D$6</c:f>
              <c:numCache>
                <c:formatCode>General</c:formatCode>
                <c:ptCount val="5"/>
                <c:pt idx="0">
                  <c:v>0</c:v>
                </c:pt>
                <c:pt idx="1">
                  <c:v>13720811</c:v>
                </c:pt>
                <c:pt idx="2">
                  <c:v>5335871</c:v>
                </c:pt>
                <c:pt idx="3">
                  <c:v>4573603</c:v>
                </c:pt>
                <c:pt idx="4">
                  <c:v>5335871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42-4833-BFB0-A36C523D705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67964768"/>
        <c:axId val="967933088"/>
      </c:barChart>
      <c:catAx>
        <c:axId val="967964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7933088"/>
        <c:crosses val="autoZero"/>
        <c:auto val="1"/>
        <c:lblAlgn val="ctr"/>
        <c:lblOffset val="100"/>
        <c:noMultiLvlLbl val="0"/>
      </c:catAx>
      <c:valAx>
        <c:axId val="967933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7964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VTAT Médio</a:t>
            </a:r>
            <a:r>
              <a:rPr lang="pt-BR" baseline="0"/>
              <a:t> por Categoria Operacional (minutos)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VTAT_Status!$B$1</c:f>
              <c:strCache>
                <c:ptCount val="1"/>
                <c:pt idx="0">
                  <c:v>vtat_medio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VTAT_Status!$A$2:$A$6</c:f>
              <c:strCache>
                <c:ptCount val="5"/>
                <c:pt idx="0">
                  <c:v>Perda por Cliente</c:v>
                </c:pt>
                <c:pt idx="1">
                  <c:v>Receita Realizada</c:v>
                </c:pt>
                <c:pt idx="2">
                  <c:v>Perda por Motorista</c:v>
                </c:pt>
                <c:pt idx="3">
                  <c:v>Perda Operacional</c:v>
                </c:pt>
                <c:pt idx="4">
                  <c:v>Falha da Oferta</c:v>
                </c:pt>
              </c:strCache>
            </c:strRef>
          </c:cat>
          <c:val>
            <c:numRef>
              <c:f>VTAT_Status!$B$2:$B$6</c:f>
              <c:numCache>
                <c:formatCode>General</c:formatCode>
                <c:ptCount val="5"/>
                <c:pt idx="0">
                  <c:v>12.51</c:v>
                </c:pt>
                <c:pt idx="1">
                  <c:v>8.51</c:v>
                </c:pt>
                <c:pt idx="2">
                  <c:v>7.5</c:v>
                </c:pt>
                <c:pt idx="3">
                  <c:v>6.01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7B-4628-9FBC-88DFD7D5BBB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44062240"/>
        <c:axId val="1644070400"/>
      </c:barChart>
      <c:catAx>
        <c:axId val="164406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44070400"/>
        <c:crosses val="autoZero"/>
        <c:auto val="1"/>
        <c:lblAlgn val="ctr"/>
        <c:lblOffset val="100"/>
        <c:noMultiLvlLbl val="0"/>
      </c:catAx>
      <c:valAx>
        <c:axId val="1644070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4406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1</xdr:row>
      <xdr:rowOff>76199</xdr:rowOff>
    </xdr:from>
    <xdr:to>
      <xdr:col>20</xdr:col>
      <xdr:colOff>38099</xdr:colOff>
      <xdr:row>34</xdr:row>
      <xdr:rowOff>161924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62D9D02-4D70-8AE2-4ADE-F5EE49C4B8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1</xdr:row>
      <xdr:rowOff>104775</xdr:rowOff>
    </xdr:from>
    <xdr:to>
      <xdr:col>17</xdr:col>
      <xdr:colOff>571500</xdr:colOff>
      <xdr:row>34</xdr:row>
      <xdr:rowOff>161925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86282D6-251F-7063-F36B-6A3C8F3CF6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381000</xdr:colOff>
      <xdr:row>1</xdr:row>
      <xdr:rowOff>123824</xdr:rowOff>
    </xdr:from>
    <xdr:to>
      <xdr:col>19</xdr:col>
      <xdr:colOff>180975</xdr:colOff>
      <xdr:row>33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46D1E15-A253-6FA3-0E90-34BD394579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209550</xdr:colOff>
      <xdr:row>2</xdr:row>
      <xdr:rowOff>171450</xdr:rowOff>
    </xdr:from>
    <xdr:to>
      <xdr:col>21</xdr:col>
      <xdr:colOff>495300</xdr:colOff>
      <xdr:row>31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178308D-2571-27DF-88F4-6094E911C6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8025D50C-BC6A-4D00-A1A0-1FD7724117D6}" autoFormatId="16" applyNumberFormats="0" applyBorderFormats="0" applyFontFormats="0" applyPatternFormats="0" applyAlignmentFormats="0" applyWidthHeightFormats="0">
  <queryTableRefresh nextId="4">
    <queryTableFields count="3">
      <queryTableField id="1" name="categoria_operacional" tableColumnId="1"/>
      <queryTableField id="2" name="total_corridas" tableColumnId="2"/>
      <queryTableField id="3" name="percentual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4" xr16:uid="{84410A64-CFA9-4E02-AA87-73660862B767}" autoFormatId="16" applyNumberFormats="0" applyBorderFormats="0" applyFontFormats="0" applyPatternFormats="0" applyAlignmentFormats="0" applyWidthHeightFormats="0">
  <queryTableRefresh nextId="4">
    <queryTableFields count="3">
      <queryTableField id="1" name="motivo_cancelamento_motorista" tableColumnId="1"/>
      <queryTableField id="2" name="total_cancelamentos" tableColumnId="2"/>
      <queryTableField id="3" name="percentual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1" xr16:uid="{D02B054C-2C2C-4938-BC0D-C0DA52ED0376}" autoFormatId="16" applyNumberFormats="0" applyBorderFormats="0" applyFontFormats="0" applyPatternFormats="0" applyAlignmentFormats="0" applyWidthHeightFormats="0">
  <queryTableRefresh nextId="5">
    <queryTableFields count="4">
      <queryTableField id="1" name="categoria_operacional" tableColumnId="1"/>
      <queryTableField id="2" name="total_corridas" tableColumnId="2"/>
      <queryTableField id="3" name="receita_realizada" tableColumnId="3"/>
      <queryTableField id="4" name="receita_perdida_estimada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2" xr16:uid="{5C0C26A4-4C24-4330-9294-29300DED2679}" autoFormatId="16" applyNumberFormats="0" applyBorderFormats="0" applyFontFormats="0" applyPatternFormats="0" applyAlignmentFormats="0" applyWidthHeightFormats="0">
  <queryTableRefresh nextId="5">
    <queryTableFields count="4">
      <queryTableField id="1" name="categoria_operacional" tableColumnId="1"/>
      <queryTableField id="2" name="vtat_medio" tableColumnId="2"/>
      <queryTableField id="3" name="ctat_medio" tableColumnId="3"/>
      <queryTableField id="4" name="total_corridas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40F84A92-B293-4352-BCEB-3BFD69129C61}" autoFormatId="16" applyNumberFormats="0" applyBorderFormats="0" applyFontFormats="0" applyPatternFormats="0" applyAlignmentFormats="0" applyWidthHeightFormats="0">
  <queryTableRefresh nextId="4">
    <queryTableFields count="3">
      <queryTableField id="1" name="motivo_cancelamento_cliente" tableColumnId="1"/>
      <queryTableField id="2" name="total_cancelamentos" tableColumnId="2"/>
      <queryTableField id="3" name="percentual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3" xr16:uid="{A0FA1545-A3D6-4A1C-9D18-1B97688CFAE1}" autoFormatId="16" applyNumberFormats="0" applyBorderFormats="0" applyFontFormats="0" applyPatternFormats="0" applyAlignmentFormats="0" applyWidthHeightFormats="0">
  <queryTableRefresh nextId="6">
    <queryTableFields count="5">
      <queryTableField id="1" name="tipo_veiculo" tableColumnId="1"/>
      <queryTableField id="2" name="total_corridas" tableColumnId="2"/>
      <queryTableField id="3" name="receita_total" tableColumnId="3"/>
      <queryTableField id="4" name="ticket_medio" tableColumnId="4"/>
      <queryTableField id="5" name="distancia_media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4" xr16:uid="{8B7F45AA-6C72-4441-B9D8-6CFB64B3A8B3}" autoFormatId="16" applyNumberFormats="0" applyBorderFormats="0" applyFontFormats="0" applyPatternFormats="0" applyAlignmentFormats="0" applyWidthHeightFormats="0">
  <queryTableRefresh nextId="6">
    <queryTableFields count="5">
      <queryTableField id="1" name="periodo_do_dia" tableColumnId="1"/>
      <queryTableField id="2" name="total_corridas" tableColumnId="2"/>
      <queryTableField id="3" name="cancelamentos_cliente" tableColumnId="3"/>
      <queryTableField id="4" name="cancelamentos_motorista" tableColumnId="4"/>
      <queryTableField id="5" name="receita_total" tableColumnId="5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5" xr16:uid="{88167C61-7227-4796-9599-6C48B0B73E3B}" autoFormatId="16" applyNumberFormats="0" applyBorderFormats="0" applyFontFormats="0" applyPatternFormats="0" applyAlignmentFormats="0" applyWidthHeightFormats="0">
  <queryTableRefresh nextId="5">
    <queryTableFields count="4">
      <queryTableField id="1" name="tipo_veiculo" tableColumnId="1"/>
      <queryTableField id="2" name="avaliacao_media_motorista" tableColumnId="2"/>
      <queryTableField id="3" name="avaliacao_media_cliente" tableColumnId="3"/>
      <queryTableField id="4" name="total_corridas_avaliada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36D1F1-57A1-4DDB-852C-F87C08F7A5C4}" name="_01_volume_por_status" displayName="_01_volume_por_status" ref="A1:C6" tableType="queryTable" totalsRowShown="0">
  <autoFilter ref="A1:C6" xr:uid="{5736D1F1-57A1-4DDB-852C-F87C08F7A5C4}"/>
  <tableColumns count="3">
    <tableColumn id="1" xr3:uid="{7966B45C-BB48-46F0-8313-65470990A0EC}" uniqueName="1" name="categoria_operacional" queryTableFieldId="1" dataDxfId="7"/>
    <tableColumn id="2" xr3:uid="{1DD71CBD-64AC-4113-851F-8AB80608588C}" uniqueName="2" name="total_corridas" queryTableFieldId="2"/>
    <tableColumn id="3" xr3:uid="{A8FE02A3-81C8-4014-B9E5-D1019FC386B9}" uniqueName="3" name="percentual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4A3D4E4-6C60-4311-A8E4-CCFE873E4173}" name="_03_motivos_cancelamento_motorista__2" displayName="_03_motivos_cancelamento_motorista__2" ref="A1:C5" tableType="queryTable" totalsRowShown="0">
  <autoFilter ref="A1:C5" xr:uid="{04A3D4E4-6C60-4311-A8E4-CCFE873E4173}"/>
  <tableColumns count="3">
    <tableColumn id="1" xr3:uid="{28F2C26B-6983-4580-9412-C96E04B06CBD}" uniqueName="1" name="motivo_cancelamento_motorista" queryTableFieldId="1" dataDxfId="6"/>
    <tableColumn id="2" xr3:uid="{C2E51633-3B71-429E-A76F-15B8A4AD21DD}" uniqueName="2" name="total_cancelamentos" queryTableFieldId="2"/>
    <tableColumn id="3" xr3:uid="{BB488906-1949-4006-94C1-BF9076000179}" uniqueName="3" name="percentual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6F03B76-6E88-418B-AA11-B0A28E5718FA}" name="_04_receita__7" displayName="_04_receita__7" ref="A1:D6" tableType="queryTable" totalsRowShown="0">
  <autoFilter ref="A1:D6" xr:uid="{E6F03B76-6E88-418B-AA11-B0A28E5718FA}"/>
  <tableColumns count="4">
    <tableColumn id="1" xr3:uid="{6D15EBF2-04D4-4778-8EB7-679DB9D083C5}" uniqueName="1" name="categoria_operacional" queryTableFieldId="1" dataDxfId="0"/>
    <tableColumn id="2" xr3:uid="{393F9AFF-FA3F-4A17-A940-4002C117174F}" uniqueName="2" name="total_corridas" queryTableFieldId="2"/>
    <tableColumn id="3" xr3:uid="{F28C31B9-BFC6-4F94-A002-A211D28EFF37}" uniqueName="3" name="receita_realizada" queryTableFieldId="3"/>
    <tableColumn id="4" xr3:uid="{F66ACE92-495B-49D8-8E5B-4C0F733383E2}" uniqueName="4" name="receita_perdida_estimada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EF1C3B5-C02E-4117-A847-CB65D195D881}" name="_05_vtat_por_status" displayName="_05_vtat_por_status" ref="A1:D6" tableType="queryTable" totalsRowShown="0">
  <autoFilter ref="A1:D6" xr:uid="{6EF1C3B5-C02E-4117-A847-CB65D195D881}"/>
  <tableColumns count="4">
    <tableColumn id="1" xr3:uid="{F2CA8462-BEA6-4EB5-8FAB-48BD4C8DF1C5}" uniqueName="1" name="categoria_operacional" queryTableFieldId="1" dataDxfId="4"/>
    <tableColumn id="2" xr3:uid="{858557D8-DCA9-4C2E-9362-5C664EBA8064}" uniqueName="2" name="vtat_medio" queryTableFieldId="2"/>
    <tableColumn id="3" xr3:uid="{D5AF6635-6D68-490D-9734-1AC6DC1C5FB5}" uniqueName="3" name="ctat_medio" queryTableFieldId="3"/>
    <tableColumn id="4" xr3:uid="{A3BBD1D1-1B49-48AA-BD46-B4436DD1CEC0}" uniqueName="4" name="total_corridas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BF1A8D-3F0A-4439-87B3-23283342FC20}" name="_02_motivos_cancelamento_cliente" displayName="_02_motivos_cancelamento_cliente" ref="A1:C6" tableType="queryTable" totalsRowShown="0">
  <autoFilter ref="A1:C6" xr:uid="{1FBF1A8D-3F0A-4439-87B3-23283342FC20}"/>
  <tableColumns count="3">
    <tableColumn id="1" xr3:uid="{703607DD-9B2D-48EB-90C8-74941355174E}" uniqueName="1" name="motivo_cancelamento_cliente" queryTableFieldId="1" dataDxfId="5"/>
    <tableColumn id="2" xr3:uid="{8E62CAF3-2482-4513-92C2-BC36841C8A0E}" uniqueName="2" name="total_cancelamentos" queryTableFieldId="2"/>
    <tableColumn id="3" xr3:uid="{80F9E121-CF51-43A4-8BB0-AEE97D8171E5}" uniqueName="3" name="percentual" queryTableField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0098277-8AF1-41C8-8ACE-6774E775F875}" name="_06_ticket_por_veiculo" displayName="_06_ticket_por_veiculo" ref="A1:E8" tableType="queryTable" totalsRowShown="0">
  <autoFilter ref="A1:E8" xr:uid="{C0098277-8AF1-41C8-8ACE-6774E775F875}"/>
  <tableColumns count="5">
    <tableColumn id="1" xr3:uid="{8AD143D2-1D5D-4BE1-ADF1-40B60071F243}" uniqueName="1" name="tipo_veiculo" queryTableFieldId="1" dataDxfId="3"/>
    <tableColumn id="2" xr3:uid="{5DE29343-65DB-4EC6-9335-2FC0C7751AE7}" uniqueName="2" name="total_corridas" queryTableFieldId="2"/>
    <tableColumn id="3" xr3:uid="{91ADC115-C34B-4C0A-BE3C-B70DE7B6EED5}" uniqueName="3" name="receita_total" queryTableFieldId="3"/>
    <tableColumn id="4" xr3:uid="{8CC301FF-EACF-45B2-88EF-3ED5595E1C45}" uniqueName="4" name="ticket_medio" queryTableFieldId="4"/>
    <tableColumn id="5" xr3:uid="{A0F9FF41-6E4B-41D2-A787-959AAB05C690}" uniqueName="5" name="distancia_media" queryTableFieldId="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2998E05-FBAB-4421-974C-8192180FFD54}" name="_07_volume_por_periodo" displayName="_07_volume_por_periodo" ref="A1:E5" tableType="queryTable" totalsRowShown="0">
  <autoFilter ref="A1:E5" xr:uid="{D2998E05-FBAB-4421-974C-8192180FFD54}"/>
  <tableColumns count="5">
    <tableColumn id="1" xr3:uid="{332E7BB2-5F13-4113-B0D8-B130E74F95B3}" uniqueName="1" name="periodo_do_dia" queryTableFieldId="1" dataDxfId="2"/>
    <tableColumn id="2" xr3:uid="{8362EC6D-373B-44D5-B508-9FF2DA133179}" uniqueName="2" name="total_corridas" queryTableFieldId="2"/>
    <tableColumn id="3" xr3:uid="{093E291B-25CE-4FB5-B31A-FE4D32FEA5B0}" uniqueName="3" name="cancelamentos_cliente" queryTableFieldId="3"/>
    <tableColumn id="4" xr3:uid="{413841D2-450D-492D-BD31-97673C7CE747}" uniqueName="4" name="cancelamentos_motorista" queryTableFieldId="4"/>
    <tableColumn id="5" xr3:uid="{2D54B9DC-306D-48A0-9AB1-DA1CEA67E4E7}" uniqueName="5" name="receita_total" queryTableFieldId="5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530053A-0C90-47A8-8639-8E066F3704CF}" name="_08_avaliacao_por_veiculo" displayName="_08_avaliacao_por_veiculo" ref="A1:D8" tableType="queryTable" totalsRowShown="0">
  <autoFilter ref="A1:D8" xr:uid="{5530053A-0C90-47A8-8639-8E066F3704CF}"/>
  <tableColumns count="4">
    <tableColumn id="1" xr3:uid="{828E7620-D682-4E40-91CD-EFC19B67F07E}" uniqueName="1" name="tipo_veiculo" queryTableFieldId="1" dataDxfId="1"/>
    <tableColumn id="2" xr3:uid="{A0D4B5A7-8CA0-4710-8534-05EF4505BCCF}" uniqueName="2" name="avaliacao_media_motorista" queryTableFieldId="2"/>
    <tableColumn id="3" xr3:uid="{7ED52AA4-2B24-45C3-8012-4C2CD6DCFECC}" uniqueName="3" name="avaliacao_media_cliente" queryTableFieldId="3"/>
    <tableColumn id="4" xr3:uid="{6BAD3313-FCCD-4AD9-8D4E-EF30D1316A25}" uniqueName="4" name="total_corridas_avaliada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1880F-C76A-44E5-A8FB-2209E406B18E}">
  <dimension ref="A1:C6"/>
  <sheetViews>
    <sheetView workbookViewId="0">
      <selection activeCell="C23" sqref="C23"/>
    </sheetView>
  </sheetViews>
  <sheetFormatPr defaultRowHeight="15" x14ac:dyDescent="0.25"/>
  <cols>
    <col min="1" max="1" width="23.28515625" bestFit="1" customWidth="1"/>
    <col min="2" max="2" width="15.7109375" bestFit="1" customWidth="1"/>
    <col min="3" max="3" width="13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93000</v>
      </c>
      <c r="C2">
        <v>620</v>
      </c>
    </row>
    <row r="3" spans="1:3" x14ac:dyDescent="0.25">
      <c r="A3" t="s">
        <v>4</v>
      </c>
      <c r="B3">
        <v>27000</v>
      </c>
      <c r="C3">
        <v>180</v>
      </c>
    </row>
    <row r="4" spans="1:3" x14ac:dyDescent="0.25">
      <c r="A4" t="s">
        <v>5</v>
      </c>
      <c r="B4">
        <v>10500</v>
      </c>
      <c r="C4">
        <v>70</v>
      </c>
    </row>
    <row r="5" spans="1:3" x14ac:dyDescent="0.25">
      <c r="A5" t="s">
        <v>6</v>
      </c>
      <c r="B5">
        <v>10500</v>
      </c>
      <c r="C5">
        <v>70</v>
      </c>
    </row>
    <row r="6" spans="1:3" x14ac:dyDescent="0.25">
      <c r="A6" t="s">
        <v>7</v>
      </c>
      <c r="B6">
        <v>9000</v>
      </c>
      <c r="C6">
        <v>60</v>
      </c>
    </row>
  </sheetData>
  <phoneticPr fontId="1" type="noConversion"/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8F7D1-9723-45BC-AEBA-B7AC57F166BE}">
  <dimension ref="A1:C5"/>
  <sheetViews>
    <sheetView workbookViewId="0">
      <selection activeCell="C23" sqref="C23"/>
    </sheetView>
  </sheetViews>
  <sheetFormatPr defaultRowHeight="15" x14ac:dyDescent="0.25"/>
  <cols>
    <col min="1" max="1" width="33.42578125" bestFit="1" customWidth="1"/>
    <col min="2" max="2" width="22.28515625" bestFit="1" customWidth="1"/>
    <col min="3" max="3" width="13" bestFit="1" customWidth="1"/>
  </cols>
  <sheetData>
    <row r="1" spans="1:3" x14ac:dyDescent="0.25">
      <c r="A1" t="s">
        <v>15</v>
      </c>
      <c r="B1" t="s">
        <v>9</v>
      </c>
      <c r="C1" t="s">
        <v>2</v>
      </c>
    </row>
    <row r="2" spans="1:3" x14ac:dyDescent="0.25">
      <c r="A2" t="s">
        <v>16</v>
      </c>
      <c r="B2">
        <v>6837</v>
      </c>
      <c r="C2">
        <v>2532</v>
      </c>
    </row>
    <row r="3" spans="1:3" x14ac:dyDescent="0.25">
      <c r="A3" t="s">
        <v>17</v>
      </c>
      <c r="B3">
        <v>6751</v>
      </c>
      <c r="C3">
        <v>250</v>
      </c>
    </row>
    <row r="4" spans="1:3" x14ac:dyDescent="0.25">
      <c r="A4" t="s">
        <v>18</v>
      </c>
      <c r="B4">
        <v>6726</v>
      </c>
      <c r="C4">
        <v>2491</v>
      </c>
    </row>
    <row r="5" spans="1:3" x14ac:dyDescent="0.25">
      <c r="A5" t="s">
        <v>19</v>
      </c>
      <c r="B5">
        <v>6686</v>
      </c>
      <c r="C5">
        <v>2476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72E68-84B9-4C2F-B654-0A1FFC536805}">
  <dimension ref="A1:D6"/>
  <sheetViews>
    <sheetView tabSelected="1" workbookViewId="0">
      <selection activeCell="V9" sqref="V9"/>
    </sheetView>
  </sheetViews>
  <sheetFormatPr defaultRowHeight="15" x14ac:dyDescent="0.25"/>
  <cols>
    <col min="1" max="1" width="23.28515625" bestFit="1" customWidth="1"/>
    <col min="2" max="2" width="15.7109375" bestFit="1" customWidth="1"/>
    <col min="3" max="3" width="18.5703125" bestFit="1" customWidth="1"/>
    <col min="4" max="4" width="26.85546875" bestFit="1" customWidth="1"/>
  </cols>
  <sheetData>
    <row r="1" spans="1:4" x14ac:dyDescent="0.25">
      <c r="A1" t="s">
        <v>0</v>
      </c>
      <c r="B1" t="s">
        <v>1</v>
      </c>
      <c r="C1" t="s">
        <v>20</v>
      </c>
      <c r="D1" t="s">
        <v>21</v>
      </c>
    </row>
    <row r="2" spans="1:4" x14ac:dyDescent="0.25">
      <c r="A2" t="s">
        <v>3</v>
      </c>
      <c r="B2">
        <v>93000</v>
      </c>
      <c r="C2">
        <v>47260574</v>
      </c>
      <c r="D2">
        <v>0</v>
      </c>
    </row>
    <row r="3" spans="1:4" x14ac:dyDescent="0.25">
      <c r="A3" t="s">
        <v>4</v>
      </c>
      <c r="B3">
        <v>27000</v>
      </c>
      <c r="C3">
        <v>0</v>
      </c>
      <c r="D3">
        <v>13720811</v>
      </c>
    </row>
    <row r="4" spans="1:4" x14ac:dyDescent="0.25">
      <c r="A4" t="s">
        <v>5</v>
      </c>
      <c r="B4">
        <v>10500</v>
      </c>
      <c r="C4">
        <v>0</v>
      </c>
      <c r="D4">
        <v>5335871</v>
      </c>
    </row>
    <row r="5" spans="1:4" x14ac:dyDescent="0.25">
      <c r="A5" t="s">
        <v>45</v>
      </c>
      <c r="B5">
        <v>9000</v>
      </c>
      <c r="C5">
        <v>0</v>
      </c>
      <c r="D5">
        <v>4573603</v>
      </c>
    </row>
    <row r="6" spans="1:4" x14ac:dyDescent="0.25">
      <c r="A6" t="s">
        <v>6</v>
      </c>
      <c r="B6">
        <v>10500</v>
      </c>
      <c r="C6">
        <v>0</v>
      </c>
      <c r="D6">
        <v>5335871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7CD23-FE74-4305-9534-27FB8BD45FA2}">
  <dimension ref="A1:D6"/>
  <sheetViews>
    <sheetView workbookViewId="0">
      <selection activeCell="C19" sqref="C19"/>
    </sheetView>
  </sheetViews>
  <sheetFormatPr defaultRowHeight="15" x14ac:dyDescent="0.25"/>
  <cols>
    <col min="1" max="1" width="23.28515625" bestFit="1" customWidth="1"/>
    <col min="2" max="3" width="13.28515625" bestFit="1" customWidth="1"/>
    <col min="4" max="4" width="15.7109375" bestFit="1" customWidth="1"/>
  </cols>
  <sheetData>
    <row r="1" spans="1:4" x14ac:dyDescent="0.25">
      <c r="A1" t="s">
        <v>0</v>
      </c>
      <c r="B1" t="s">
        <v>23</v>
      </c>
      <c r="C1" t="s">
        <v>24</v>
      </c>
      <c r="D1" t="s">
        <v>1</v>
      </c>
    </row>
    <row r="2" spans="1:4" x14ac:dyDescent="0.25">
      <c r="A2" t="s">
        <v>5</v>
      </c>
      <c r="B2">
        <v>12.51</v>
      </c>
      <c r="C2">
        <v>0</v>
      </c>
      <c r="D2">
        <v>10500</v>
      </c>
    </row>
    <row r="3" spans="1:4" x14ac:dyDescent="0.25">
      <c r="A3" t="s">
        <v>3</v>
      </c>
      <c r="B3">
        <v>8.51</v>
      </c>
      <c r="C3">
        <v>3003</v>
      </c>
      <c r="D3">
        <v>93000</v>
      </c>
    </row>
    <row r="4" spans="1:4" x14ac:dyDescent="0.25">
      <c r="A4" t="s">
        <v>4</v>
      </c>
      <c r="B4">
        <v>7.5</v>
      </c>
      <c r="C4">
        <v>0</v>
      </c>
      <c r="D4">
        <v>27000</v>
      </c>
    </row>
    <row r="5" spans="1:4" x14ac:dyDescent="0.25">
      <c r="A5" t="s">
        <v>7</v>
      </c>
      <c r="B5">
        <v>6.01</v>
      </c>
      <c r="C5">
        <v>200</v>
      </c>
      <c r="D5">
        <v>9000</v>
      </c>
    </row>
    <row r="6" spans="1:4" x14ac:dyDescent="0.25">
      <c r="A6" t="s">
        <v>6</v>
      </c>
      <c r="B6">
        <v>0</v>
      </c>
      <c r="C6">
        <v>0</v>
      </c>
      <c r="D6">
        <v>10500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CB124-AAD1-40E1-BD14-8918D8C013A4}">
  <dimension ref="A1:C6"/>
  <sheetViews>
    <sheetView workbookViewId="0"/>
  </sheetViews>
  <sheetFormatPr defaultRowHeight="15" x14ac:dyDescent="0.25"/>
  <cols>
    <col min="1" max="1" width="41" bestFit="1" customWidth="1"/>
    <col min="2" max="2" width="22.28515625" bestFit="1" customWidth="1"/>
    <col min="3" max="3" width="13" bestFit="1" customWidth="1"/>
  </cols>
  <sheetData>
    <row r="1" spans="1:3" x14ac:dyDescent="0.25">
      <c r="A1" t="s">
        <v>8</v>
      </c>
      <c r="B1" t="s">
        <v>9</v>
      </c>
      <c r="C1" t="s">
        <v>2</v>
      </c>
    </row>
    <row r="2" spans="1:3" x14ac:dyDescent="0.25">
      <c r="A2" t="s">
        <v>10</v>
      </c>
      <c r="B2">
        <v>2362</v>
      </c>
      <c r="C2">
        <v>225</v>
      </c>
    </row>
    <row r="3" spans="1:3" x14ac:dyDescent="0.25">
      <c r="A3" t="s">
        <v>11</v>
      </c>
      <c r="B3">
        <v>2353</v>
      </c>
      <c r="C3">
        <v>2241</v>
      </c>
    </row>
    <row r="4" spans="1:3" x14ac:dyDescent="0.25">
      <c r="A4" t="s">
        <v>12</v>
      </c>
      <c r="B4">
        <v>2335</v>
      </c>
      <c r="C4">
        <v>2224</v>
      </c>
    </row>
    <row r="5" spans="1:3" x14ac:dyDescent="0.25">
      <c r="A5" t="s">
        <v>13</v>
      </c>
      <c r="B5">
        <v>2295</v>
      </c>
      <c r="C5">
        <v>2186</v>
      </c>
    </row>
    <row r="6" spans="1:3" x14ac:dyDescent="0.25">
      <c r="A6" t="s">
        <v>14</v>
      </c>
      <c r="B6">
        <v>1155</v>
      </c>
      <c r="C6">
        <v>110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5DE94-7AB7-4718-98C2-ED9EBA5099C1}">
  <dimension ref="A1:E8"/>
  <sheetViews>
    <sheetView workbookViewId="0">
      <selection activeCell="J36" sqref="J36"/>
    </sheetView>
  </sheetViews>
  <sheetFormatPr defaultRowHeight="15" x14ac:dyDescent="0.25"/>
  <cols>
    <col min="1" max="1" width="14.28515625" bestFit="1" customWidth="1"/>
    <col min="2" max="2" width="15.7109375" bestFit="1" customWidth="1"/>
    <col min="3" max="3" width="14.5703125" bestFit="1" customWidth="1"/>
    <col min="4" max="4" width="15" bestFit="1" customWidth="1"/>
    <col min="5" max="5" width="18" bestFit="1" customWidth="1"/>
  </cols>
  <sheetData>
    <row r="1" spans="1:5" x14ac:dyDescent="0.25">
      <c r="A1" t="s">
        <v>25</v>
      </c>
      <c r="B1" t="s">
        <v>1</v>
      </c>
      <c r="C1" t="s">
        <v>26</v>
      </c>
      <c r="D1" t="s">
        <v>22</v>
      </c>
      <c r="E1" t="s">
        <v>27</v>
      </c>
    </row>
    <row r="2" spans="1:5" x14ac:dyDescent="0.25">
      <c r="A2" t="s">
        <v>28</v>
      </c>
      <c r="B2">
        <v>37419</v>
      </c>
      <c r="C2">
        <v>117276150</v>
      </c>
      <c r="D2">
        <v>50648</v>
      </c>
      <c r="E2">
        <v>2599</v>
      </c>
    </row>
    <row r="3" spans="1:5" x14ac:dyDescent="0.25">
      <c r="A3" t="s">
        <v>29</v>
      </c>
      <c r="B3">
        <v>29806</v>
      </c>
      <c r="C3">
        <v>94114180</v>
      </c>
      <c r="D3">
        <v>50738</v>
      </c>
      <c r="E3">
        <v>2599</v>
      </c>
    </row>
    <row r="4" spans="1:5" x14ac:dyDescent="0.25">
      <c r="A4" t="s">
        <v>30</v>
      </c>
      <c r="B4">
        <v>27141</v>
      </c>
      <c r="C4">
        <v>85385600</v>
      </c>
      <c r="D4">
        <v>51203</v>
      </c>
      <c r="E4">
        <v>2598</v>
      </c>
    </row>
    <row r="5" spans="1:5" x14ac:dyDescent="0.25">
      <c r="A5" t="s">
        <v>31</v>
      </c>
      <c r="B5">
        <v>22517</v>
      </c>
      <c r="C5">
        <v>71449130</v>
      </c>
      <c r="D5">
        <v>50911</v>
      </c>
      <c r="E5">
        <v>260</v>
      </c>
    </row>
    <row r="6" spans="1:5" x14ac:dyDescent="0.25">
      <c r="A6" t="s">
        <v>32</v>
      </c>
      <c r="B6">
        <v>18111</v>
      </c>
      <c r="C6">
        <v>57336550</v>
      </c>
      <c r="D6">
        <v>50957</v>
      </c>
      <c r="E6">
        <v>2595</v>
      </c>
    </row>
    <row r="7" spans="1:5" x14ac:dyDescent="0.25">
      <c r="A7" t="s">
        <v>33</v>
      </c>
      <c r="B7">
        <v>10557</v>
      </c>
      <c r="C7">
        <v>32981570</v>
      </c>
      <c r="D7">
        <v>50346</v>
      </c>
      <c r="E7">
        <v>2634</v>
      </c>
    </row>
    <row r="8" spans="1:5" x14ac:dyDescent="0.25">
      <c r="A8" t="s">
        <v>34</v>
      </c>
      <c r="B8">
        <v>4449</v>
      </c>
      <c r="C8">
        <v>14062560</v>
      </c>
      <c r="D8">
        <v>5053</v>
      </c>
      <c r="E8">
        <v>2572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C3A19-F802-4CEC-B7F6-E980CA3E25A9}">
  <dimension ref="A1:E5"/>
  <sheetViews>
    <sheetView workbookViewId="0"/>
  </sheetViews>
  <sheetFormatPr defaultRowHeight="15" x14ac:dyDescent="0.25"/>
  <cols>
    <col min="1" max="1" width="17.140625" bestFit="1" customWidth="1"/>
    <col min="2" max="2" width="15.7109375" bestFit="1" customWidth="1"/>
    <col min="3" max="3" width="24.5703125" bestFit="1" customWidth="1"/>
    <col min="4" max="4" width="27" bestFit="1" customWidth="1"/>
    <col min="5" max="5" width="14.5703125" bestFit="1" customWidth="1"/>
  </cols>
  <sheetData>
    <row r="1" spans="1:5" x14ac:dyDescent="0.25">
      <c r="A1" t="s">
        <v>35</v>
      </c>
      <c r="B1" t="s">
        <v>1</v>
      </c>
      <c r="C1" t="s">
        <v>36</v>
      </c>
      <c r="D1" t="s">
        <v>37</v>
      </c>
      <c r="E1" t="s">
        <v>26</v>
      </c>
    </row>
    <row r="2" spans="1:5" x14ac:dyDescent="0.25">
      <c r="A2" t="s">
        <v>38</v>
      </c>
      <c r="B2">
        <v>48386</v>
      </c>
      <c r="C2">
        <v>33960</v>
      </c>
      <c r="D2">
        <v>87690</v>
      </c>
      <c r="E2">
        <v>151719660</v>
      </c>
    </row>
    <row r="3" spans="1:5" x14ac:dyDescent="0.25">
      <c r="A3" t="s">
        <v>39</v>
      </c>
      <c r="B3">
        <v>46618</v>
      </c>
      <c r="C3">
        <v>32720</v>
      </c>
      <c r="D3">
        <v>83960</v>
      </c>
      <c r="E3">
        <v>146583780</v>
      </c>
    </row>
    <row r="4" spans="1:5" x14ac:dyDescent="0.25">
      <c r="A4" t="s">
        <v>40</v>
      </c>
      <c r="B4">
        <v>45458</v>
      </c>
      <c r="C4">
        <v>31650</v>
      </c>
      <c r="D4">
        <v>81260</v>
      </c>
      <c r="E4">
        <v>143876890</v>
      </c>
    </row>
    <row r="5" spans="1:5" x14ac:dyDescent="0.25">
      <c r="A5" t="s">
        <v>41</v>
      </c>
      <c r="B5">
        <v>9538</v>
      </c>
      <c r="C5">
        <v>6670</v>
      </c>
      <c r="D5">
        <v>17090</v>
      </c>
      <c r="E5">
        <v>30425410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25F17-0854-4E8F-806D-6147928DB35A}">
  <dimension ref="A1:D8"/>
  <sheetViews>
    <sheetView workbookViewId="0">
      <selection activeCell="D27" sqref="D27"/>
    </sheetView>
  </sheetViews>
  <sheetFormatPr defaultRowHeight="15" x14ac:dyDescent="0.25"/>
  <cols>
    <col min="1" max="1" width="14.28515625" bestFit="1" customWidth="1"/>
    <col min="2" max="2" width="28.140625" bestFit="1" customWidth="1"/>
    <col min="3" max="3" width="25.5703125" bestFit="1" customWidth="1"/>
    <col min="4" max="4" width="25.140625" bestFit="1" customWidth="1"/>
  </cols>
  <sheetData>
    <row r="1" spans="1:4" x14ac:dyDescent="0.25">
      <c r="A1" t="s">
        <v>25</v>
      </c>
      <c r="B1" t="s">
        <v>42</v>
      </c>
      <c r="C1" t="s">
        <v>43</v>
      </c>
      <c r="D1" t="s">
        <v>44</v>
      </c>
    </row>
    <row r="2" spans="1:4" x14ac:dyDescent="0.25">
      <c r="A2" t="s">
        <v>34</v>
      </c>
      <c r="B2">
        <v>265</v>
      </c>
      <c r="C2">
        <v>276</v>
      </c>
      <c r="D2">
        <v>4449</v>
      </c>
    </row>
    <row r="3" spans="1:4" x14ac:dyDescent="0.25">
      <c r="A3" t="s">
        <v>31</v>
      </c>
      <c r="B3">
        <v>264</v>
      </c>
      <c r="C3">
        <v>274</v>
      </c>
      <c r="D3">
        <v>22517</v>
      </c>
    </row>
    <row r="4" spans="1:4" x14ac:dyDescent="0.25">
      <c r="A4" t="s">
        <v>32</v>
      </c>
      <c r="B4">
        <v>263</v>
      </c>
      <c r="C4">
        <v>274</v>
      </c>
      <c r="D4">
        <v>18111</v>
      </c>
    </row>
    <row r="5" spans="1:4" x14ac:dyDescent="0.25">
      <c r="A5" t="s">
        <v>29</v>
      </c>
      <c r="B5">
        <v>263</v>
      </c>
      <c r="C5">
        <v>274</v>
      </c>
      <c r="D5">
        <v>29806</v>
      </c>
    </row>
    <row r="6" spans="1:4" x14ac:dyDescent="0.25">
      <c r="A6" t="s">
        <v>33</v>
      </c>
      <c r="B6">
        <v>262</v>
      </c>
      <c r="C6">
        <v>273</v>
      </c>
      <c r="D6">
        <v>10557</v>
      </c>
    </row>
    <row r="7" spans="1:4" x14ac:dyDescent="0.25">
      <c r="A7" t="s">
        <v>28</v>
      </c>
      <c r="B7">
        <v>262</v>
      </c>
      <c r="C7">
        <v>272</v>
      </c>
      <c r="D7">
        <v>37419</v>
      </c>
    </row>
    <row r="8" spans="1:4" x14ac:dyDescent="0.25">
      <c r="A8" t="s">
        <v>30</v>
      </c>
      <c r="B8">
        <v>26</v>
      </c>
      <c r="C8">
        <v>271</v>
      </c>
      <c r="D8">
        <v>27141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7E15F5-B8C4-4904-8D2E-2493EAF124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Volume_Status</vt:lpstr>
      <vt:lpstr>Motivos_Motorista</vt:lpstr>
      <vt:lpstr>Receita</vt:lpstr>
      <vt:lpstr>VTAT_Status</vt:lpstr>
      <vt:lpstr>Motivos_Clientes</vt:lpstr>
      <vt:lpstr>Ticket_Veiculo</vt:lpstr>
      <vt:lpstr>Volume_Periodo</vt:lpstr>
      <vt:lpstr>Avaliacao_Produto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Willian Caires</dc:creator>
  <cp:lastModifiedBy>Willian Caires</cp:lastModifiedBy>
  <dcterms:created xsi:type="dcterms:W3CDTF">2026-04-23T14:07:38Z</dcterms:created>
  <dcterms:modified xsi:type="dcterms:W3CDTF">2026-04-28T02:16:10Z</dcterms:modified>
</cp:coreProperties>
</file>